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说明" sheetId="1" r:id="rId1"/>
    <sheet name="待确认问题" sheetId="2" r:id="rId2"/>
    <sheet name="明确可落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<sst xmlns="http://schemas.openxmlformats.org/spreadsheetml/2006/main" count="240" uniqueCount="174">
  <si>
    <t>防火墙 UT 范围确认表</t>
  </si>
  <si>
    <t>使用说明</t>
  </si>
  <si>
    <t/>
  </si>
  <si>
    <t>1</t>
  </si>
  <si>
    <t>请在“待确认问题”工作表的“你的选择”列填写 A/B/C/D。</t>
  </si>
  <si>
    <t>2</t>
  </si>
  <si>
    <t>可在“确认结论/备注”列补充你的业务规则或边界说明。</t>
  </si>
  <si>
    <t>3</t>
  </si>
  <si>
    <t>我会等你全部确认后，再执行 UT 新增/修改。</t>
  </si>
  <si>
    <t>4</t>
  </si>
  <si>
    <t>“明确可落测”工作表中的项目不依赖业务语义确认，可作为第一轮明确测试池。</t>
  </si>
  <si>
    <t>5</t>
  </si>
  <si>
    <t>若你的选择涉及改生产代码，我会先重新给计划，不会直接动手。</t>
  </si>
  <si>
    <t>ID</t>
  </si>
  <si>
    <t>分类</t>
  </si>
  <si>
    <t>模块/函数</t>
  </si>
  <si>
    <t>待确认问题</t>
  </si>
  <si>
    <t>当前实现行为</t>
  </si>
  <si>
    <t>风险/影响</t>
  </si>
  <si>
    <t>候选选项</t>
  </si>
  <si>
    <t>建议</t>
  </si>
  <si>
    <t>你的选择</t>
  </si>
  <si>
    <t>确认结论/备注</t>
  </si>
  <si>
    <t>确认状态</t>
  </si>
  <si>
    <t>公式/说明</t>
  </si>
  <si>
    <t>Q1</t>
  </si>
  <si>
    <t>实现明确但业务需确认</t>
  </si>
  <si>
    <t>FirewallService.setFirewallEnabledForAllUsers</t>
  </si>
  <si>
    <t>用户列表为空时，全局开启/关闭防火墙应该算成功还是失败？</t>
  </si>
  <si>
    <t>users 为空时 failedItems 为空，因此返回 success=true。</t>
  </si>
  <si>
    <t>如果业务认为无用户是异常，当前实现会被 UT 固化为成功。</t>
  </si>
  <si>
    <r>
      <t>A=</t>
    </r>
    <r>
      <rPr>
        <sz val="11"/>
        <rFont val="宋体"/>
        <charset val="134"/>
      </rPr>
      <t>保持当前实现：无用户也算成功；</t>
    </r>
    <r>
      <rPr>
        <sz val="11"/>
        <rFont val="Carlito"/>
        <charset val="134"/>
      </rPr>
      <t>B=</t>
    </r>
    <r>
      <rPr>
        <sz val="11"/>
        <rFont val="宋体"/>
        <charset val="134"/>
      </rPr>
      <t>改为失败：返回</t>
    </r>
    <r>
      <rPr>
        <sz val="11"/>
        <rFont val="Carlito"/>
        <charset val="134"/>
      </rPr>
      <t xml:space="preserve"> no available users</t>
    </r>
    <r>
      <rPr>
        <sz val="11"/>
        <rFont val="宋体"/>
        <charset val="134"/>
      </rPr>
      <t>；</t>
    </r>
    <r>
      <rPr>
        <sz val="11"/>
        <rFont val="Carlito"/>
        <charset val="134"/>
      </rPr>
      <t>C=</t>
    </r>
    <r>
      <rPr>
        <sz val="11"/>
        <rFont val="宋体"/>
        <charset val="134"/>
      </rPr>
      <t>暂不测该场景</t>
    </r>
  </si>
  <si>
    <t>C，先不固化该语义，除非你确认 A 或 B。</t>
  </si>
  <si>
    <t>C</t>
  </si>
  <si>
    <t>不存在用户列表为空的这个场景</t>
  </si>
  <si>
    <t>问题总数</t>
  </si>
  <si>
    <t>Q2</t>
  </si>
  <si>
    <t>FirewallService.deleteRule / deleteDeploymentsOnly</t>
  </si>
  <si>
    <t>删除规则时，系统删除部分失败，本地 deployment 是否应该删除？</t>
  </si>
  <si>
    <t>即使 FirewallSystemRepository.removeRule 返回 false，仍会调用 removeRuleDeployments 删除本地 deployment。</t>
  </si>
  <si>
    <t>可能导致系统残留规则失去本地追踪；如果固化当前行为，后续修复会需要改 UT。</t>
  </si>
  <si>
    <t>A=保持当前实现并写 UT 固化；B=改为保留失败 deployment；C=暂不覆盖该失败场景</t>
  </si>
  <si>
    <t>B 或 C；若短期不改生产代码，建议 C。</t>
  </si>
  <si>
    <t>不存在该场景</t>
  </si>
  <si>
    <t>已填写选择</t>
  </si>
  <si>
    <t>Q3</t>
  </si>
  <si>
    <t>FirewallService.updateRule</t>
  </si>
  <si>
    <t>更新规则时，旧规则删除失败后是否还允许创建新规则？</t>
  </si>
  <si>
    <r>
      <t>先</t>
    </r>
    <r>
      <rPr>
        <sz val="11"/>
        <rFont val="Carlito"/>
        <charset val="134"/>
      </rPr>
      <t xml:space="preserve"> deleteDeploymentsOnly</t>
    </r>
    <r>
      <rPr>
        <sz val="11"/>
        <rFont val="宋体"/>
        <charset val="134"/>
      </rPr>
      <t>，再</t>
    </r>
    <r>
      <rPr>
        <sz val="11"/>
        <rFont val="Carlito"/>
        <charset val="134"/>
      </rPr>
      <t xml:space="preserve"> createRuleWithLocalRuleId</t>
    </r>
    <r>
      <rPr>
        <sz val="11"/>
        <rFont val="宋体"/>
        <charset val="134"/>
      </rPr>
      <t>；旧删除失败仍继续创建新规则，最后</t>
    </r>
    <r>
      <rPr>
        <sz val="11"/>
        <rFont val="Carlito"/>
        <charset val="134"/>
      </rPr>
      <t xml:space="preserve"> result.success=false</t>
    </r>
    <r>
      <rPr>
        <sz val="11"/>
        <rFont val="宋体"/>
        <charset val="134"/>
      </rPr>
      <t>。</t>
    </r>
  </si>
  <si>
    <t>可能同时存在旧规则残留和新规则；是否允许取决于容错策略。</t>
  </si>
  <si>
    <t>A=保持当前实现；B=旧规则删除失败则中止更新；C=暂不覆盖该失败场景</t>
  </si>
  <si>
    <t>C，先覆盖找不到 intent 和成功路径；失败策略确认后再补。</t>
  </si>
  <si>
    <t>剩余未确认</t>
  </si>
  <si>
    <t>Q4</t>
  </si>
  <si>
    <t>FirewallService.createRule</t>
  </si>
  <si>
    <t>多用户创建规则部分成功时，是否保留成功结果？</t>
  </si>
  <si>
    <t>只要至少一个用户 addRule 成功，就保存 intent 和成功 deployments，并返回 success=false。</t>
  </si>
  <si>
    <t>如果业务要求原子性，应回滚已成功系统规则；当前实现是部分提交。</t>
  </si>
  <si>
    <r>
      <t>A=</t>
    </r>
    <r>
      <rPr>
        <sz val="11"/>
        <rFont val="宋体"/>
        <charset val="134"/>
      </rPr>
      <t>保持当前实现；</t>
    </r>
    <r>
      <rPr>
        <sz val="11"/>
        <rFont val="Carlito"/>
        <charset val="134"/>
      </rPr>
      <t>B=</t>
    </r>
    <r>
      <rPr>
        <sz val="11"/>
        <rFont val="宋体"/>
        <charset val="134"/>
      </rPr>
      <t>失败则回滚已成功规则；</t>
    </r>
    <r>
      <rPr>
        <sz val="11"/>
        <rFont val="Carlito"/>
        <charset val="134"/>
      </rPr>
      <t>C=</t>
    </r>
    <r>
      <rPr>
        <sz val="11"/>
        <rFont val="宋体"/>
        <charset val="134"/>
      </rPr>
      <t>暂不覆盖部分成功场景</t>
    </r>
  </si>
  <si>
    <t>A，当前实现有明确返回 failedItems，适合先固化部分成功语义；但需你确认。</t>
  </si>
  <si>
    <t>A</t>
  </si>
  <si>
    <t>执行门禁</t>
  </si>
  <si>
    <t>Q5</t>
  </si>
  <si>
    <t>FirewallModeStrategy.buildPublicRules / buildPrivateRules</t>
  </si>
  <si>
    <t>public/private 模式的具体规则数量、名称、端口是否要强断言？</t>
  </si>
  <si>
    <t>public 默认基础规则包含允许 ICMP、允许 80/443、拒绝 SMB/NetBIOS；private 在默认配置 privateCidrs=[] 时生成空规则。</t>
  </si>
  <si>
    <t>强断言会把当前策略细节固化，后续配置或产品策略调整会频繁改 UT。</t>
  </si>
  <si>
    <t>A=强断言当前规则名称/端口/动作；B=只断言公开行为：不抛异常、按用户展开、字段合法；C=暂不测 public/private</t>
  </si>
  <si>
    <r>
      <t>B</t>
    </r>
    <r>
      <rPr>
        <sz val="11"/>
        <rFont val="宋体"/>
        <charset val="134"/>
      </rPr>
      <t>，第一轮避免固化策略细节。</t>
    </r>
  </si>
  <si>
    <t>B</t>
  </si>
  <si>
    <t>Q6</t>
  </si>
  <si>
    <t>不明确</t>
  </si>
  <si>
    <t>FirewallRuleUtils domain conflict</t>
  </si>
  <si>
    <t>Domain wildcard 语义是否按当前实现固化？</t>
  </si>
  <si>
    <t>*.example.com 只匹配单级子域 a.example.com；不匹配 example.com；不匹配 a.b.example.com。</t>
  </si>
  <si>
    <t>不同产品对 wildcard domain 的理解差异很大，不能擅自固化。</t>
  </si>
  <si>
    <t>A=按当前实现固化；B=*.example.com 也匹配根域；C=*.example.com 匹配任意层级子域；D=暂不测 wildcard，只测 exact domain</t>
  </si>
  <si>
    <t>D，第一轮只测 exact domain；等你确认后再补 wildcard。</t>
  </si>
  <si>
    <t>D</t>
  </si>
  <si>
    <t>Q7</t>
  </si>
  <si>
    <t>FirewallRuleUtils DNS conflict</t>
  </si>
  <si>
    <r>
      <t xml:space="preserve">DNS </t>
    </r>
    <r>
      <rPr>
        <sz val="11"/>
        <rFont val="宋体"/>
        <charset val="134"/>
      </rPr>
      <t>规则冲突是否只按</t>
    </r>
    <r>
      <rPr>
        <sz val="11"/>
        <rFont val="Carlito"/>
        <charset val="134"/>
      </rPr>
      <t xml:space="preserve"> primaryDns </t>
    </r>
    <r>
      <rPr>
        <sz val="11"/>
        <rFont val="宋体"/>
        <charset val="134"/>
      </rPr>
      <t>相同判断？</t>
    </r>
  </si>
  <si>
    <t>当前只比较 primaryDns，忽略 standbyDns；DNS 没有 overlap 语义。</t>
  </si>
  <si>
    <t>如果 standbyDns 也应参与冲突判断，当前实现和 UT 都需要调整。</t>
  </si>
  <si>
    <t>A=按当前实现固化：primaryDns 相同才 duplicate/hard conflict；B=primaryDns + standbyDns 都参与判断；C=暂不测 DNS 冲突</t>
  </si>
  <si>
    <t>C，第一轮不固化 DNS 冲突细节；或 A 若你确认当前语义。</t>
  </si>
  <si>
    <t>Q8</t>
  </si>
  <si>
    <t>FirewallRuleUtils IP conflict</t>
  </si>
  <si>
    <t>IP 规则空地址/空端口是否表示全部？</t>
  </si>
  <si>
    <t>当前冲突归一化中，空 IP 视为全 IPv4，空端口视为 0-65535。</t>
  </si>
  <si>
    <t>这会让宽泛规则与很多具体规则冲突；是否符合业务策略需要确认。</t>
  </si>
  <si>
    <t>A=按当前实现固化；B=空 IP/端口只允许创建，但不参与全量冲突判断；C=暂不测空 IP/端口冲突</t>
  </si>
  <si>
    <t>A 或 C；若产品认为空表示全部，选 A。</t>
  </si>
  <si>
    <t>Q9</t>
  </si>
  <si>
    <t>FirewallService.switchMode</t>
  </si>
  <si>
    <t>public/private 模式切换时，用户 policy 是否都应设置为 isOpen=true 且 in/out action=ALLOW？</t>
  </si>
  <si>
    <t>targetMode 非 custom 时 buildPolicyForUserMode(undefined)，返回 isOpen=true、inAction=ALLOW、outAction=ALLOW。</t>
  </si>
  <si>
    <t>如果 public/private 模式应该设置不同默认策略，现有 switchMode 测试会固化错误行为。</t>
  </si>
  <si>
    <t>A=保持当前实现；B=public/private 应有不同 policy；C=暂不新增该断言，仅保留现有测试</t>
  </si>
  <si>
    <t>C，现有 UT 已覆盖一部分；新增强断言前建议确认。</t>
  </si>
  <si>
    <t>Q10</t>
  </si>
  <si>
    <t>FirewallService.switchMode custom</t>
  </si>
  <si>
    <t>custom 模式下 allowlist/denylist/default 的 policy 映射是否正确？</t>
  </si>
  <si>
    <t>allowlist =&gt; DENY/DENY；denylist 或无记录 =&gt; ALLOW/ALLOW；均 isOpen=true。</t>
  </si>
  <si>
    <t>这是典型白名单/黑名单语义，但仍应由业务确认，尤其是无记录默认策略。</t>
  </si>
  <si>
    <t>A=保持当前实现；B=无记录默认应 DENY/DENY；C=暂不新增该断言，仅保留现有测试</t>
  </si>
  <si>
    <r>
      <t>A</t>
    </r>
    <r>
      <rPr>
        <sz val="11"/>
        <rFont val="宋体"/>
        <charset val="134"/>
      </rPr>
      <t>，但请确认无记录默认是否允许。</t>
    </r>
  </si>
  <si>
    <t>无记录默认是允许。</t>
  </si>
  <si>
    <t>Q11</t>
  </si>
  <si>
    <t>本地保存 intent/deployment 失败时，是否需要回滚已经添加到系统的规则？</t>
  </si>
  <si>
    <t>当前返回 success=false、errorMessage='local save failed'，但不回滚已 addRule 成功的系统规则。</t>
  </si>
  <si>
    <t>可能产生系统规则存在但本地不可见的残留。</t>
  </si>
  <si>
    <t>A=保持当前实现；B=保存失败时回滚系统规则；C=暂不覆盖该失败场景</t>
  </si>
  <si>
    <t>C，除非本轮要修生产逻辑。</t>
  </si>
  <si>
    <t>Q12</t>
  </si>
  <si>
    <t>FirewallModeStrategy.loadPresetConfig</t>
  </si>
  <si>
    <t>配置内容是否保证只包含 ASCII？</t>
  </si>
  <si>
    <t>当前 bytesToString 使用 String.fromCharCode 拼接，不是真正 UTF-8 decode。</t>
  </si>
  <si>
    <r>
      <t>如果</t>
    </r>
    <r>
      <rPr>
        <sz val="11"/>
        <rFont val="Carlito"/>
        <charset val="134"/>
      </rPr>
      <t xml:space="preserve"> rawfile </t>
    </r>
    <r>
      <rPr>
        <sz val="11"/>
        <rFont val="宋体"/>
        <charset val="134"/>
      </rPr>
      <t>未来包含中文或非</t>
    </r>
    <r>
      <rPr>
        <sz val="11"/>
        <rFont val="Carlito"/>
        <charset val="134"/>
      </rPr>
      <t xml:space="preserve"> ASCII</t>
    </r>
    <r>
      <rPr>
        <sz val="11"/>
        <rFont val="宋体"/>
        <charset val="134"/>
      </rPr>
      <t>，解析可能有编码风险。</t>
    </r>
  </si>
  <si>
    <t>A=配置保证 ASCII；B=需要支持 UTF-8，后续改实现；C=暂不测编码，仅测读取失败兜底</t>
  </si>
  <si>
    <t>C，第一轮只测读取失败兜底。</t>
  </si>
  <si>
    <r>
      <t>不存在</t>
    </r>
    <r>
      <rPr>
        <sz val="11"/>
        <rFont val="Carlito"/>
        <charset val="134"/>
      </rPr>
      <t xml:space="preserve">rawfile </t>
    </r>
    <r>
      <rPr>
        <sz val="11"/>
        <rFont val="宋体"/>
        <charset val="134"/>
      </rPr>
      <t>未来包含中文或非</t>
    </r>
    <r>
      <rPr>
        <sz val="11"/>
        <rFont val="Carlito"/>
        <charset val="134"/>
      </rPr>
      <t xml:space="preserve"> ASCII</t>
    </r>
    <r>
      <rPr>
        <sz val="11"/>
        <rFont val="宋体"/>
        <charset val="134"/>
      </rPr>
      <t>，解析可能有编码风险。</t>
    </r>
  </si>
  <si>
    <t>可直接落测的输入</t>
  </si>
  <si>
    <t>明确输出/验收</t>
  </si>
  <si>
    <t>依据</t>
  </si>
  <si>
    <t>setFirewallEnabledForAllUsers</t>
  </si>
  <si>
    <t>PIN unavailable</t>
  </si>
  <si>
    <t>reason=pin_unavailable，且不继续调用用户/策略接口</t>
  </si>
  <si>
    <t>代码分支明确</t>
  </si>
  <si>
    <t>enabled=true/false + 已有 policy</t>
  </si>
  <si>
    <t>只改变 isOpen，保留 inAction/outAction</t>
  </si>
  <si>
    <t>nextPolicy 构造明确</t>
  </si>
  <si>
    <t>getPolicy 返回 null</t>
  </si>
  <si>
    <t>failedItems 包含 read policy failed</t>
  </si>
  <si>
    <t>代码字符串明确</t>
  </si>
  <si>
    <t>setPolicy 返回 false</t>
  </si>
  <si>
    <t>failedItems 包含 set policy failed，reason=policy_apply_failed</t>
  </si>
  <si>
    <t>FirewallLocalRepository</t>
  </si>
  <si>
    <t>空/非法 mode</t>
  </si>
  <si>
    <t>默认 custom；合法 public/private/custom 可读回</t>
  </si>
  <si>
    <t>代码合法值判断明确</t>
  </si>
  <si>
    <t>非法用户策略记录</t>
  </si>
  <si>
    <t>过滤非法 userId/mode</t>
  </si>
  <si>
    <t>filter 条件明确</t>
  </si>
  <si>
    <t>非法 rule intent/deployment</t>
  </si>
  <si>
    <t>normalize 时过滤</t>
  </si>
  <si>
    <t>validateRuleIntentInput</t>
  </si>
  <si>
    <t>空名称、无用户、domain 缺 domain、dns 缺 primaryDns</t>
  </si>
  <si>
    <t>返回对应错误字符串</t>
  </si>
  <si>
    <t>normalizeUserIds</t>
  </si>
  <si>
    <t>[101,-1,100,101,1.5]</t>
  </si>
  <si>
    <t>[100,101]</t>
  </si>
  <si>
    <t>过滤、去重、排序实现明确</t>
  </si>
  <si>
    <t>createRule</t>
  </si>
  <si>
    <t>输入校验失败</t>
  </si>
  <si>
    <t>不调用 addRule，不保存本地状态</t>
  </si>
  <si>
    <t>createRuleWithLocalRuleId 早返回</t>
  </si>
  <si>
    <t>updateRule</t>
  </si>
  <si>
    <t>getRuleIntent=null</t>
  </si>
  <si>
    <t>success=false，errorMessage=rule intent not found</t>
  </si>
  <si>
    <t>代码明确</t>
  </si>
  <si>
    <t>deleteRule</t>
  </si>
  <si>
    <t>removeRuleIntent=false</t>
  </si>
  <si>
    <t>failedItems 包含 remove rule intent failed</t>
  </si>
  <si>
    <t>buildCustomRules</t>
  </si>
  <si>
    <t>listRuleIntents=[]</t>
  </si>
  <si>
    <t>返回 []</t>
  </si>
  <si>
    <t>代码循环明确</t>
  </si>
  <si>
    <t>targetUserIds 有重复/乱序</t>
  </si>
  <si>
    <t>按 normalize 后用户展开，保留 localRuleId</t>
  </si>
  <si>
    <t>loadPresetConfig</t>
  </si>
  <si>
    <t>resourceManager 读取失败</t>
  </si>
  <si>
    <t>返回默认空配置</t>
  </si>
  <si>
    <t>catch 分支明确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</si>
</sst>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b/>
      <sz val="16"/>
      <color rgb="FFFFFFFF"/>
      <name val="Carlito"/>
      <charset val="134"/>
    </font>
    <font>
      <b/>
      <sz val="11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selection activeCell="B5" sqref="B5"/>
    </sheetView>
  </sheetViews>
  <sheetFormatPr defaultColWidth="9" defaultRowHeight="14.25" outlineLevelRow="7" outlineLevelCol="5"/>
  <cols>
    <col min="1" max="1" width="9.29166666666667" customWidth="1"/>
    <col min="2" max="6" width="29.2916666666667" customWidth="1"/>
  </cols>
  <sheetData>
    <row r="1" ht="20.25" spans="1:6">
      <c r="A1" s="4" t="s">
        <v>0</v>
      </c>
    </row>
    <row r="3" spans="1:6">
      <c r="A3" s="5" t="s">
        <v>1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</row>
    <row r="4" ht="28.5" spans="1:6">
      <c r="A4" s="6" t="s">
        <v>3</v>
      </c>
      <c r="B4" s="6" t="s">
        <v>4</v>
      </c>
      <c r="C4" s="6" t="s">
        <v>2</v>
      </c>
      <c r="D4" s="6" t="s">
        <v>2</v>
      </c>
      <c r="E4" s="6" t="s">
        <v>2</v>
      </c>
      <c r="F4" s="6" t="s">
        <v>2</v>
      </c>
    </row>
    <row r="5" ht="27.75" spans="1:6">
      <c r="A5" s="6" t="s">
        <v>5</v>
      </c>
      <c r="B5" s="6" t="s">
        <v>6</v>
      </c>
      <c r="C5" s="6" t="s">
        <v>2</v>
      </c>
      <c r="D5" s="6" t="s">
        <v>2</v>
      </c>
      <c r="E5" s="6" t="s">
        <v>2</v>
      </c>
      <c r="F5" s="6" t="s">
        <v>2</v>
      </c>
    </row>
    <row r="6" ht="28.5" spans="1:6">
      <c r="A6" s="6" t="s">
        <v>7</v>
      </c>
      <c r="B6" s="6" t="s">
        <v>8</v>
      </c>
      <c r="C6" s="6" t="s">
        <v>2</v>
      </c>
      <c r="D6" s="6" t="s">
        <v>2</v>
      </c>
      <c r="E6" s="6" t="s">
        <v>2</v>
      </c>
      <c r="F6" s="6" t="s">
        <v>2</v>
      </c>
    </row>
    <row r="7" ht="41.25" spans="1:6">
      <c r="A7" s="6" t="s">
        <v>9</v>
      </c>
      <c r="B7" s="6" t="s">
        <v>10</v>
      </c>
      <c r="C7" s="6" t="s">
        <v>2</v>
      </c>
      <c r="D7" s="6" t="s">
        <v>2</v>
      </c>
      <c r="E7" s="6" t="s">
        <v>2</v>
      </c>
      <c r="F7" s="6" t="s">
        <v>2</v>
      </c>
    </row>
    <row r="8" ht="27" spans="1:6">
      <c r="A8" s="6" t="s">
        <v>11</v>
      </c>
      <c r="B8" s="6" t="s">
        <v>12</v>
      </c>
      <c r="C8" s="6" t="s">
        <v>2</v>
      </c>
      <c r="D8" s="6" t="s">
        <v>2</v>
      </c>
      <c r="E8" s="6" t="s">
        <v>2</v>
      </c>
      <c r="F8" s="6" t="s">
        <v>2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tabSelected="1" workbookViewId="0">
      <selection activeCell="J13" sqref="J13"/>
    </sheetView>
  </sheetViews>
  <sheetFormatPr defaultColWidth="9" defaultRowHeight="14.25"/>
  <cols>
    <col min="1" max="1" width="7.29166666666667" customWidth="1"/>
    <col min="2" max="2" width="17.8583333333333" customWidth="1"/>
    <col min="3" max="3" width="29.2916666666667" customWidth="1"/>
    <col min="4" max="4" width="36.4333333333333" customWidth="1"/>
    <col min="5" max="5" width="39.2916666666667" customWidth="1"/>
    <col min="6" max="6" width="36.4333333333333" customWidth="1"/>
    <col min="7" max="7" width="50.7083333333333" customWidth="1"/>
    <col min="8" max="8" width="32.1416666666667" customWidth="1"/>
    <col min="9" max="9" width="16.4333333333333" customWidth="1"/>
    <col min="10" max="10" width="36.4333333333333" customWidth="1"/>
    <col min="12" max="14" width="19.2916666666667" customWidth="1"/>
  </cols>
  <sheetData>
    <row r="1" ht="15" spans="1:1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L1" s="1" t="s">
        <v>23</v>
      </c>
      <c r="M1" s="1" t="s">
        <v>24</v>
      </c>
      <c r="N1" s="1" t="s">
        <v>2</v>
      </c>
    </row>
    <row r="2" ht="28.5" spans="1:14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3" t="s">
        <v>34</v>
      </c>
      <c r="L2" t="s">
        <v>35</v>
      </c>
      <c r="M2">
        <v>12</v>
      </c>
      <c r="N2" t="s">
        <v>2</v>
      </c>
    </row>
    <row r="3" ht="42.75" spans="1:14">
      <c r="A3" s="2" t="s">
        <v>36</v>
      </c>
      <c r="B3" s="2" t="s">
        <v>26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33</v>
      </c>
      <c r="J3" s="3" t="s">
        <v>43</v>
      </c>
      <c r="L3" t="s">
        <v>44</v>
      </c>
      <c r="M3">
        <f>COUNTA(I2:I13)</f>
        <v>12</v>
      </c>
      <c r="N3" t="s">
        <v>2</v>
      </c>
    </row>
    <row r="4" ht="42.75" spans="1:14">
      <c r="A4" s="2" t="s">
        <v>45</v>
      </c>
      <c r="B4" s="2" t="s">
        <v>26</v>
      </c>
      <c r="C4" s="2" t="s">
        <v>46</v>
      </c>
      <c r="D4" s="3" t="s">
        <v>47</v>
      </c>
      <c r="E4" s="3" t="s">
        <v>48</v>
      </c>
      <c r="F4" s="2" t="s">
        <v>49</v>
      </c>
      <c r="G4" s="2" t="s">
        <v>50</v>
      </c>
      <c r="H4" s="2" t="s">
        <v>51</v>
      </c>
      <c r="I4" s="2" t="s">
        <v>33</v>
      </c>
      <c r="J4" s="3" t="s">
        <v>43</v>
      </c>
      <c r="L4" t="s">
        <v>52</v>
      </c>
      <c r="M4" t="e">
        <f>B2-B3</f>
        <v>#VALUE!</v>
      </c>
      <c r="N4" t="s">
        <v>2</v>
      </c>
    </row>
    <row r="5" ht="42.75" spans="1:14">
      <c r="A5" s="2" t="s">
        <v>53</v>
      </c>
      <c r="B5" s="2" t="s">
        <v>26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3"/>
      <c r="L5" t="s">
        <v>61</v>
      </c>
      <c r="M5" t="str">
        <f>IF(B4=0,"可进入 UT 实施","等待确认")</f>
        <v>等待确认</v>
      </c>
      <c r="N5" t="s">
        <v>2</v>
      </c>
    </row>
    <row r="6" ht="42.75" spans="1:14">
      <c r="A6" s="2" t="s">
        <v>62</v>
      </c>
      <c r="B6" s="2" t="s">
        <v>26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/>
    </row>
    <row r="7" ht="42.75" spans="1:14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78</v>
      </c>
      <c r="J7" s="2" t="s">
        <v>2</v>
      </c>
    </row>
    <row r="8" ht="42.75" spans="1:14">
      <c r="A8" s="2" t="s">
        <v>79</v>
      </c>
      <c r="B8" s="2" t="s">
        <v>71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60</v>
      </c>
      <c r="J8" s="2" t="s">
        <v>2</v>
      </c>
    </row>
    <row r="9" ht="28.5" spans="1:14">
      <c r="A9" s="2" t="s">
        <v>86</v>
      </c>
      <c r="B9" s="2" t="s">
        <v>26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92</v>
      </c>
      <c r="I9" s="2" t="s">
        <v>60</v>
      </c>
      <c r="J9" s="2" t="s">
        <v>2</v>
      </c>
    </row>
    <row r="10" ht="57" spans="1:14">
      <c r="A10" s="2" t="s">
        <v>93</v>
      </c>
      <c r="B10" s="2" t="s">
        <v>26</v>
      </c>
      <c r="C10" s="2" t="s">
        <v>94</v>
      </c>
      <c r="D10" s="2" t="s">
        <v>95</v>
      </c>
      <c r="E10" s="2" t="s">
        <v>96</v>
      </c>
      <c r="F10" s="2" t="s">
        <v>97</v>
      </c>
      <c r="G10" s="2" t="s">
        <v>98</v>
      </c>
      <c r="H10" s="2" t="s">
        <v>99</v>
      </c>
      <c r="I10" s="2" t="s">
        <v>60</v>
      </c>
      <c r="J10" s="2" t="s">
        <v>2</v>
      </c>
    </row>
    <row r="11" ht="28.5" spans="1:14">
      <c r="A11" s="2" t="s">
        <v>100</v>
      </c>
      <c r="B11" s="2" t="s">
        <v>26</v>
      </c>
      <c r="C11" s="2" t="s">
        <v>101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60</v>
      </c>
      <c r="J11" s="3" t="s">
        <v>107</v>
      </c>
    </row>
    <row r="12" ht="42" spans="1:14">
      <c r="A12" s="2" t="s">
        <v>108</v>
      </c>
      <c r="B12" s="2" t="s">
        <v>26</v>
      </c>
      <c r="C12" s="2" t="s">
        <v>54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33</v>
      </c>
      <c r="J12" s="3" t="s">
        <v>43</v>
      </c>
    </row>
    <row r="13" ht="28.5" spans="1:14">
      <c r="A13" s="2" t="s">
        <v>114</v>
      </c>
      <c r="B13" s="2" t="s">
        <v>26</v>
      </c>
      <c r="C13" s="2" t="s">
        <v>115</v>
      </c>
      <c r="D13" s="2" t="s">
        <v>116</v>
      </c>
      <c r="E13" s="2" t="s">
        <v>117</v>
      </c>
      <c r="F13" s="3" t="s">
        <v>118</v>
      </c>
      <c r="G13" s="2" t="s">
        <v>119</v>
      </c>
      <c r="H13" s="2" t="s">
        <v>120</v>
      </c>
      <c r="I13" s="2" t="s">
        <v>33</v>
      </c>
      <c r="J13" s="3" t="s">
        <v>121</v>
      </c>
    </row>
  </sheetData>
  <dataValidations count="1">
    <dataValidation type="list" sqref="I4 I5 I2:I3 I6:I13">
      <formula1>"A,B,C,D"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workbookViewId="0">
      <selection activeCell="A1" sqref="A1"/>
    </sheetView>
  </sheetViews>
  <sheetFormatPr defaultColWidth="9" defaultRowHeight="14.25" outlineLevelCol="3"/>
  <cols>
    <col min="1" max="1" width="32.1416666666667" customWidth="1"/>
    <col min="2" max="2" width="42.1416666666667" customWidth="1"/>
    <col min="3" max="3" width="46.4333333333333" customWidth="1"/>
    <col min="4" max="4" width="30.7083333333333" customWidth="1"/>
  </cols>
  <sheetData>
    <row r="1" ht="15" spans="1:4">
      <c r="A1" s="1" t="s">
        <v>15</v>
      </c>
      <c r="B1" s="1" t="s">
        <v>122</v>
      </c>
      <c r="C1" s="1" t="s">
        <v>123</v>
      </c>
      <c r="D1" s="1" t="s">
        <v>124</v>
      </c>
    </row>
    <row r="2" spans="1:4">
      <c r="A2" s="2" t="s">
        <v>125</v>
      </c>
      <c r="B2" s="2" t="s">
        <v>126</v>
      </c>
      <c r="C2" s="2" t="s">
        <v>127</v>
      </c>
      <c r="D2" s="2" t="s">
        <v>128</v>
      </c>
    </row>
    <row r="3" spans="1:4">
      <c r="A3" s="2" t="s">
        <v>125</v>
      </c>
      <c r="B3" s="2" t="s">
        <v>129</v>
      </c>
      <c r="C3" s="2" t="s">
        <v>130</v>
      </c>
      <c r="D3" s="2" t="s">
        <v>131</v>
      </c>
    </row>
    <row r="4" spans="1:4">
      <c r="A4" s="2" t="s">
        <v>125</v>
      </c>
      <c r="B4" s="2" t="s">
        <v>132</v>
      </c>
      <c r="C4" s="2" t="s">
        <v>133</v>
      </c>
      <c r="D4" s="2" t="s">
        <v>134</v>
      </c>
    </row>
    <row r="5" ht="28.5" spans="1:4">
      <c r="A5" s="2" t="s">
        <v>125</v>
      </c>
      <c r="B5" s="2" t="s">
        <v>135</v>
      </c>
      <c r="C5" s="2" t="s">
        <v>136</v>
      </c>
      <c r="D5" s="2" t="s">
        <v>134</v>
      </c>
    </row>
    <row r="6" spans="1:4">
      <c r="A6" s="2" t="s">
        <v>137</v>
      </c>
      <c r="B6" s="2" t="s">
        <v>138</v>
      </c>
      <c r="C6" s="2" t="s">
        <v>139</v>
      </c>
      <c r="D6" s="2" t="s">
        <v>140</v>
      </c>
    </row>
    <row r="7" spans="1:4">
      <c r="A7" s="2" t="s">
        <v>137</v>
      </c>
      <c r="B7" s="2" t="s">
        <v>141</v>
      </c>
      <c r="C7" s="2" t="s">
        <v>142</v>
      </c>
      <c r="D7" s="2" t="s">
        <v>143</v>
      </c>
    </row>
    <row r="8" spans="1:4">
      <c r="A8" s="2" t="s">
        <v>137</v>
      </c>
      <c r="B8" s="2" t="s">
        <v>144</v>
      </c>
      <c r="C8" s="2" t="s">
        <v>145</v>
      </c>
      <c r="D8" s="2" t="s">
        <v>143</v>
      </c>
    </row>
    <row r="9" ht="28.5" spans="1:4">
      <c r="A9" s="2" t="s">
        <v>146</v>
      </c>
      <c r="B9" s="2" t="s">
        <v>147</v>
      </c>
      <c r="C9" s="2" t="s">
        <v>148</v>
      </c>
      <c r="D9" s="2" t="s">
        <v>134</v>
      </c>
    </row>
    <row r="10" spans="1:4">
      <c r="A10" s="2" t="s">
        <v>149</v>
      </c>
      <c r="B10" s="2" t="s">
        <v>150</v>
      </c>
      <c r="C10" s="2" t="s">
        <v>151</v>
      </c>
      <c r="D10" s="2" t="s">
        <v>152</v>
      </c>
    </row>
    <row r="11" spans="1:4">
      <c r="A11" s="2" t="s">
        <v>153</v>
      </c>
      <c r="B11" s="2" t="s">
        <v>154</v>
      </c>
      <c r="C11" s="2" t="s">
        <v>155</v>
      </c>
      <c r="D11" s="2" t="s">
        <v>156</v>
      </c>
    </row>
    <row r="12" spans="1:4">
      <c r="A12" s="2" t="s">
        <v>157</v>
      </c>
      <c r="B12" s="2" t="s">
        <v>158</v>
      </c>
      <c r="C12" s="2" t="s">
        <v>159</v>
      </c>
      <c r="D12" s="2" t="s">
        <v>160</v>
      </c>
    </row>
    <row r="13" spans="1:4">
      <c r="A13" s="2" t="s">
        <v>161</v>
      </c>
      <c r="B13" s="2" t="s">
        <v>162</v>
      </c>
      <c r="C13" s="2" t="s">
        <v>163</v>
      </c>
      <c r="D13" s="2" t="s">
        <v>160</v>
      </c>
    </row>
    <row r="14" spans="1:4">
      <c r="A14" s="2" t="s">
        <v>164</v>
      </c>
      <c r="B14" s="2" t="s">
        <v>165</v>
      </c>
      <c r="C14" s="2" t="s">
        <v>166</v>
      </c>
      <c r="D14" s="2" t="s">
        <v>167</v>
      </c>
    </row>
    <row r="15" spans="1:4">
      <c r="A15" s="2" t="s">
        <v>164</v>
      </c>
      <c r="B15" s="2" t="s">
        <v>168</v>
      </c>
      <c r="C15" s="2" t="s">
        <v>169</v>
      </c>
      <c r="D15" s="2" t="s">
        <v>160</v>
      </c>
    </row>
    <row r="16" spans="1:4">
      <c r="A16" s="2" t="s">
        <v>170</v>
      </c>
      <c r="B16" s="2" t="s">
        <v>171</v>
      </c>
      <c r="C16" s="2" t="s">
        <v>172</v>
      </c>
      <c r="D16" s="2" t="s">
        <v>173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待确认问题</vt:lpstr>
      <vt:lpstr>明确可落测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大美女</cp:lastModifiedBy>
  <dcterms:created xsi:type="dcterms:W3CDTF">2026-04-22T08:10:14Z</dcterms:created>
  <dcterms:modified xsi:type="dcterms:W3CDTF">2026-04-22T08:28:05Z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EEAF10215F67462B816838B488C60DF8_12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